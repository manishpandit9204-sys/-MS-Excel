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FA070DEC-D3CA-4409-AB15-C92E62B8F82B}" xr6:coauthVersionLast="47" xr6:coauthVersionMax="47" xr10:uidLastSave="{00000000-0000-0000-0000-000000000000}"/>
  <bookViews>
    <workbookView xWindow="-108" yWindow="-108" windowWidth="23256" windowHeight="12456" xr2:uid="{5704294B-DE01-45FD-A43F-93EB4779A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H3" i="1"/>
  <c r="H2" i="1"/>
  <c r="H4" i="1"/>
  <c r="H5" i="1"/>
  <c r="H6" i="1"/>
  <c r="H7" i="1"/>
  <c r="H8" i="1"/>
  <c r="H9" i="1"/>
  <c r="H10" i="1"/>
  <c r="H11" i="1"/>
  <c r="H12" i="1"/>
  <c r="H13" i="1"/>
  <c r="H14" i="1"/>
  <c r="H15" i="1"/>
</calcChain>
</file>

<file path=xl/sharedStrings.xml><?xml version="1.0" encoding="utf-8"?>
<sst xmlns="http://schemas.openxmlformats.org/spreadsheetml/2006/main" count="81" uniqueCount="50">
  <si>
    <t>JobTitle</t>
  </si>
  <si>
    <t>Department</t>
  </si>
  <si>
    <t>Gender</t>
  </si>
  <si>
    <t>Age</t>
  </si>
  <si>
    <t>Hire Date</t>
  </si>
  <si>
    <t>Country</t>
  </si>
  <si>
    <t>Conditions</t>
  </si>
  <si>
    <t xml:space="preserve">If </t>
  </si>
  <si>
    <t>AND</t>
  </si>
  <si>
    <t>OR</t>
  </si>
  <si>
    <t>Full Name</t>
  </si>
  <si>
    <t>Emily Davis</t>
  </si>
  <si>
    <t>Mich. George</t>
  </si>
  <si>
    <t>Anderson</t>
  </si>
  <si>
    <t>Luke Dawnson</t>
  </si>
  <si>
    <t>Clark</t>
  </si>
  <si>
    <t>Denial Victory</t>
  </si>
  <si>
    <t>cChii Young</t>
  </si>
  <si>
    <t>yuan Ahmad</t>
  </si>
  <si>
    <t>Robert Yang</t>
  </si>
  <si>
    <t>Camila Silva</t>
  </si>
  <si>
    <t>Livingston Jeeva</t>
  </si>
  <si>
    <t>Dev Gupta</t>
  </si>
  <si>
    <t>Hardik Pandya</t>
  </si>
  <si>
    <t>Aditya Ranjan</t>
  </si>
  <si>
    <t>Sr.Manager</t>
  </si>
  <si>
    <t>Technical Architect</t>
  </si>
  <si>
    <t>Director</t>
  </si>
  <si>
    <t>Computer Sysyem Manager</t>
  </si>
  <si>
    <t>Sr.Analyst</t>
  </si>
  <si>
    <t>Analyst</t>
  </si>
  <si>
    <t>Vice President</t>
  </si>
  <si>
    <t>Presisdent</t>
  </si>
  <si>
    <t>Control Engineer</t>
  </si>
  <si>
    <t>Software Developer</t>
  </si>
  <si>
    <t>Full Stack developer</t>
  </si>
  <si>
    <t>MERN Developer</t>
  </si>
  <si>
    <t>Manager</t>
  </si>
  <si>
    <t>IT</t>
  </si>
  <si>
    <t>Finance</t>
  </si>
  <si>
    <t>DS</t>
  </si>
  <si>
    <t>Accounting</t>
  </si>
  <si>
    <t>Human Resource</t>
  </si>
  <si>
    <t>Engineering</t>
  </si>
  <si>
    <t>Marketing</t>
  </si>
  <si>
    <t>Male</t>
  </si>
  <si>
    <t>Female</t>
  </si>
  <si>
    <t>UK</t>
  </si>
  <si>
    <t>USA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</si>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</sst>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0A06-A407-452C-9327-559E5E4413BC}">
  <dimension ref="A1:K15"/>
  <sheetViews>
    <sheetView tabSelected="1" topLeftCell="B1" workbookViewId="0">
      <selection activeCell="K2" sqref="K2:K15"/>
    </sheetView>
  </sheetViews>
  <sheetFormatPr defaultRowHeight="14.4" x14ac:dyDescent="0.3"/>
  <cols>
    <col min="1" max="1" width="13.77734375" bestFit="1" customWidth="1"/>
    <col min="2" max="2" width="23" bestFit="1" customWidth="1"/>
    <col min="3" max="3" width="10.5546875" bestFit="1" customWidth="1"/>
    <col min="4" max="4" width="7" bestFit="1" customWidth="1"/>
    <col min="6" max="6" width="10.33203125" bestFit="1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11</v>
      </c>
      <c r="B2" t="s">
        <v>25</v>
      </c>
      <c r="C2" t="s">
        <v>38</v>
      </c>
      <c r="D2" t="s">
        <v>45</v>
      </c>
      <c r="E2">
        <v>34</v>
      </c>
      <c r="F2" s="1">
        <v>42468</v>
      </c>
      <c r="G2" t="s">
        <v>47</v>
      </c>
      <c r="H2" t="b">
        <f>E2&gt;35</f>
        <v>0</v>
      </c>
      <c r="I2" t="str">
        <f>IF(E2&gt;=30,"Bonus","No Bonus")</f>
        <v>Bonus</v>
      </c>
      <c r="J2" t="str">
        <f>IF(AND(C2="IT",G2="USA"),"Included","Excluded")</f>
        <v>Excluded</v>
      </c>
      <c r="K2" t="str">
        <f>IF(OR(D2="Female",G2="IND"),"Included","Excluded")</f>
        <v>Excluded</v>
      </c>
    </row>
    <row r="3" spans="1:11" x14ac:dyDescent="0.3">
      <c r="A3" t="s">
        <v>12</v>
      </c>
      <c r="B3" t="s">
        <v>26</v>
      </c>
      <c r="C3" t="s">
        <v>38</v>
      </c>
      <c r="D3" t="s">
        <v>45</v>
      </c>
      <c r="E3">
        <v>56</v>
      </c>
      <c r="F3" s="1">
        <v>40920</v>
      </c>
      <c r="G3" t="s">
        <v>48</v>
      </c>
      <c r="H3" t="b">
        <f>E3&gt;35</f>
        <v>1</v>
      </c>
      <c r="I3" t="str">
        <f t="shared" ref="I3:I15" si="0">IF(E3&gt;=30,"Bonus","No Bonus")</f>
        <v>Bonus</v>
      </c>
      <c r="J3" t="str">
        <f t="shared" ref="J3:J15" si="1">IF(AND(C3="IT",G3="USA"),"Included","Excluded")</f>
        <v>Included</v>
      </c>
      <c r="K3" t="str">
        <f t="shared" ref="K3:K15" si="2">IF(OR(D3="Female",G3="IND"),"Included","Excluded")</f>
        <v>Excluded</v>
      </c>
    </row>
    <row r="4" spans="1:11" x14ac:dyDescent="0.3">
      <c r="A4" t="s">
        <v>13</v>
      </c>
      <c r="B4" t="s">
        <v>27</v>
      </c>
      <c r="C4" t="s">
        <v>39</v>
      </c>
      <c r="D4" t="s">
        <v>45</v>
      </c>
      <c r="E4">
        <v>21</v>
      </c>
      <c r="F4" s="1">
        <v>43903</v>
      </c>
      <c r="G4" t="s">
        <v>49</v>
      </c>
      <c r="H4" t="b">
        <f t="shared" ref="H3:H15" si="3">E4&gt;35</f>
        <v>0</v>
      </c>
      <c r="I4" t="str">
        <f t="shared" si="0"/>
        <v>No Bonus</v>
      </c>
      <c r="J4" t="str">
        <f t="shared" si="1"/>
        <v>Excluded</v>
      </c>
      <c r="K4" t="str">
        <f t="shared" si="2"/>
        <v>Included</v>
      </c>
    </row>
    <row r="5" spans="1:11" x14ac:dyDescent="0.3">
      <c r="A5" t="s">
        <v>14</v>
      </c>
      <c r="B5" t="s">
        <v>28</v>
      </c>
      <c r="C5" t="s">
        <v>38</v>
      </c>
      <c r="D5" t="s">
        <v>45</v>
      </c>
      <c r="E5">
        <v>35</v>
      </c>
      <c r="F5" s="1">
        <v>45494</v>
      </c>
      <c r="G5" t="s">
        <v>48</v>
      </c>
      <c r="H5" t="b">
        <f t="shared" si="3"/>
        <v>0</v>
      </c>
      <c r="I5" t="str">
        <f t="shared" si="0"/>
        <v>Bonus</v>
      </c>
      <c r="J5" t="str">
        <f t="shared" si="1"/>
        <v>Included</v>
      </c>
      <c r="K5" t="str">
        <f t="shared" si="2"/>
        <v>Excluded</v>
      </c>
    </row>
    <row r="6" spans="1:11" x14ac:dyDescent="0.3">
      <c r="A6" t="s">
        <v>15</v>
      </c>
      <c r="B6" t="s">
        <v>29</v>
      </c>
      <c r="C6" t="s">
        <v>40</v>
      </c>
      <c r="D6" t="s">
        <v>46</v>
      </c>
      <c r="E6">
        <v>56</v>
      </c>
      <c r="F6" s="1">
        <v>33016</v>
      </c>
      <c r="G6" t="s">
        <v>48</v>
      </c>
      <c r="H6" t="b">
        <f t="shared" si="3"/>
        <v>1</v>
      </c>
      <c r="I6" t="str">
        <f t="shared" si="0"/>
        <v>Bonus</v>
      </c>
      <c r="J6" t="str">
        <f t="shared" si="1"/>
        <v>Excluded</v>
      </c>
      <c r="K6" t="str">
        <f t="shared" si="2"/>
        <v>Included</v>
      </c>
    </row>
    <row r="7" spans="1:11" x14ac:dyDescent="0.3">
      <c r="A7" t="s">
        <v>16</v>
      </c>
      <c r="B7" t="s">
        <v>30</v>
      </c>
      <c r="C7" t="s">
        <v>41</v>
      </c>
      <c r="D7" t="s">
        <v>46</v>
      </c>
      <c r="E7">
        <v>32</v>
      </c>
      <c r="F7" s="1">
        <v>40750</v>
      </c>
      <c r="G7" t="s">
        <v>49</v>
      </c>
      <c r="H7" t="b">
        <f t="shared" si="3"/>
        <v>0</v>
      </c>
      <c r="I7" t="str">
        <f t="shared" si="0"/>
        <v>Bonus</v>
      </c>
      <c r="J7" t="str">
        <f t="shared" si="1"/>
        <v>Excluded</v>
      </c>
      <c r="K7" t="str">
        <f t="shared" si="2"/>
        <v>Included</v>
      </c>
    </row>
    <row r="8" spans="1:11" x14ac:dyDescent="0.3">
      <c r="A8" t="s">
        <v>17</v>
      </c>
      <c r="B8" t="s">
        <v>31</v>
      </c>
      <c r="C8" t="s">
        <v>42</v>
      </c>
      <c r="D8" t="s">
        <v>45</v>
      </c>
      <c r="E8">
        <v>26</v>
      </c>
      <c r="F8" s="1">
        <v>39183</v>
      </c>
      <c r="G8" t="s">
        <v>47</v>
      </c>
      <c r="H8" t="b">
        <f t="shared" si="3"/>
        <v>0</v>
      </c>
      <c r="I8" t="str">
        <f t="shared" si="0"/>
        <v>No Bonus</v>
      </c>
      <c r="J8" t="str">
        <f t="shared" si="1"/>
        <v>Excluded</v>
      </c>
      <c r="K8" t="str">
        <f t="shared" si="2"/>
        <v>Excluded</v>
      </c>
    </row>
    <row r="9" spans="1:11" x14ac:dyDescent="0.3">
      <c r="A9" t="s">
        <v>18</v>
      </c>
      <c r="B9" t="s">
        <v>32</v>
      </c>
      <c r="C9" t="s">
        <v>43</v>
      </c>
      <c r="D9" t="s">
        <v>45</v>
      </c>
      <c r="E9">
        <v>28</v>
      </c>
      <c r="F9" s="1">
        <v>44758</v>
      </c>
      <c r="G9" t="s">
        <v>48</v>
      </c>
      <c r="H9" t="b">
        <f t="shared" si="3"/>
        <v>0</v>
      </c>
      <c r="I9" t="str">
        <f t="shared" si="0"/>
        <v>No Bonus</v>
      </c>
      <c r="J9" t="str">
        <f t="shared" si="1"/>
        <v>Excluded</v>
      </c>
      <c r="K9" t="str">
        <f t="shared" si="2"/>
        <v>Excluded</v>
      </c>
    </row>
    <row r="10" spans="1:11" x14ac:dyDescent="0.3">
      <c r="A10" t="s">
        <v>19</v>
      </c>
      <c r="B10" t="s">
        <v>33</v>
      </c>
      <c r="C10" t="s">
        <v>38</v>
      </c>
      <c r="D10" t="s">
        <v>45</v>
      </c>
      <c r="E10">
        <v>45</v>
      </c>
      <c r="F10" s="1">
        <v>44025</v>
      </c>
      <c r="G10" t="s">
        <v>48</v>
      </c>
      <c r="H10" t="b">
        <f t="shared" si="3"/>
        <v>1</v>
      </c>
      <c r="I10" t="str">
        <f t="shared" si="0"/>
        <v>Bonus</v>
      </c>
      <c r="J10" t="str">
        <f t="shared" si="1"/>
        <v>Included</v>
      </c>
      <c r="K10" t="str">
        <f t="shared" si="2"/>
        <v>Excluded</v>
      </c>
    </row>
    <row r="11" spans="1:11" x14ac:dyDescent="0.3">
      <c r="A11" t="s">
        <v>20</v>
      </c>
      <c r="B11" t="s">
        <v>34</v>
      </c>
      <c r="C11" t="s">
        <v>44</v>
      </c>
      <c r="D11" t="s">
        <v>45</v>
      </c>
      <c r="E11">
        <v>30</v>
      </c>
      <c r="F11" s="1">
        <v>44458</v>
      </c>
      <c r="G11" t="s">
        <v>48</v>
      </c>
      <c r="H11" t="b">
        <f t="shared" si="3"/>
        <v>0</v>
      </c>
      <c r="I11" t="str">
        <f t="shared" si="0"/>
        <v>Bonus</v>
      </c>
      <c r="J11" t="str">
        <f t="shared" si="1"/>
        <v>Excluded</v>
      </c>
      <c r="K11" t="str">
        <f t="shared" si="2"/>
        <v>Excluded</v>
      </c>
    </row>
    <row r="12" spans="1:11" x14ac:dyDescent="0.3">
      <c r="A12" t="s">
        <v>21</v>
      </c>
      <c r="B12" t="s">
        <v>35</v>
      </c>
      <c r="C12" t="s">
        <v>38</v>
      </c>
      <c r="D12" t="s">
        <v>46</v>
      </c>
      <c r="E12">
        <v>35</v>
      </c>
      <c r="F12" s="1">
        <v>40823</v>
      </c>
      <c r="G12" t="s">
        <v>47</v>
      </c>
      <c r="H12" t="b">
        <f t="shared" si="3"/>
        <v>0</v>
      </c>
      <c r="I12" t="str">
        <f t="shared" si="0"/>
        <v>Bonus</v>
      </c>
      <c r="J12" t="str">
        <f t="shared" si="1"/>
        <v>Excluded</v>
      </c>
      <c r="K12" t="str">
        <f t="shared" si="2"/>
        <v>Included</v>
      </c>
    </row>
    <row r="13" spans="1:11" x14ac:dyDescent="0.3">
      <c r="A13" t="s">
        <v>22</v>
      </c>
      <c r="B13" t="s">
        <v>36</v>
      </c>
      <c r="C13" t="s">
        <v>41</v>
      </c>
      <c r="D13" t="s">
        <v>45</v>
      </c>
      <c r="E13">
        <v>45</v>
      </c>
      <c r="F13" s="1">
        <v>38266</v>
      </c>
      <c r="G13" t="s">
        <v>49</v>
      </c>
      <c r="H13" t="b">
        <f t="shared" si="3"/>
        <v>1</v>
      </c>
      <c r="I13" t="str">
        <f t="shared" si="0"/>
        <v>Bonus</v>
      </c>
      <c r="J13" t="str">
        <f t="shared" si="1"/>
        <v>Excluded</v>
      </c>
      <c r="K13" t="str">
        <f t="shared" si="2"/>
        <v>Included</v>
      </c>
    </row>
    <row r="14" spans="1:11" x14ac:dyDescent="0.3">
      <c r="A14" t="s">
        <v>23</v>
      </c>
      <c r="B14" t="s">
        <v>37</v>
      </c>
      <c r="C14" t="s">
        <v>38</v>
      </c>
      <c r="D14" t="s">
        <v>45</v>
      </c>
      <c r="E14">
        <v>45</v>
      </c>
      <c r="F14" s="1">
        <v>44355</v>
      </c>
      <c r="G14" t="s">
        <v>48</v>
      </c>
      <c r="H14" t="b">
        <f t="shared" si="3"/>
        <v>1</v>
      </c>
      <c r="I14" t="str">
        <f t="shared" si="0"/>
        <v>Bonus</v>
      </c>
      <c r="J14" t="str">
        <f t="shared" si="1"/>
        <v>Included</v>
      </c>
      <c r="K14" t="str">
        <f t="shared" si="2"/>
        <v>Excluded</v>
      </c>
    </row>
    <row r="15" spans="1:11" x14ac:dyDescent="0.3">
      <c r="A15" t="s">
        <v>24</v>
      </c>
      <c r="B15" t="s">
        <v>27</v>
      </c>
      <c r="C15" t="s">
        <v>37</v>
      </c>
      <c r="D15" t="s">
        <v>45</v>
      </c>
      <c r="E15">
        <v>34</v>
      </c>
      <c r="F15" s="1">
        <v>42560</v>
      </c>
      <c r="G15" t="s">
        <v>48</v>
      </c>
      <c r="H15" t="b">
        <f t="shared" si="3"/>
        <v>0</v>
      </c>
      <c r="I15" t="str">
        <f t="shared" si="0"/>
        <v>Bonus</v>
      </c>
      <c r="J15" t="str">
        <f t="shared" si="1"/>
        <v>Excluded</v>
      </c>
      <c r="K15" t="str">
        <f t="shared" si="2"/>
        <v>Excluded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2026-09-18T12:21:30Z</dcterms:created>
  <dcterms:modified xsi:type="dcterms:W3CDTF">2026-09-18T21:37:17Z</dcterms:modified>
</cp:coreProperties>
</file>