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 KUMAR\Desktop\MS Excel\"/>
    </mc:Choice>
  </mc:AlternateContent>
  <xr:revisionPtr revIDLastSave="0" documentId="8_{B50B06E2-41A1-4E06-8DB7-EAC7393C7E76}" xr6:coauthVersionLast="47" xr6:coauthVersionMax="47" xr10:uidLastSave="{00000000-0000-0000-0000-000000000000}"/>
  <bookViews>
    <workbookView xWindow="5772" yWindow="372" windowWidth="11712" windowHeight="12336" xr2:uid="{88A4E7C6-1E08-4448-B3B6-666852BDF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</calcChain>
</file>

<file path=xl/sharedStrings.xml><?xml version="1.0" encoding="utf-8"?>
<sst xmlns="http://schemas.openxmlformats.org/spreadsheetml/2006/main" count="132" uniqueCount="64">
  <si>
    <t>S.No.</t>
  </si>
  <si>
    <t>Item Name</t>
  </si>
  <si>
    <t>Category</t>
  </si>
  <si>
    <t>Subcategory (Bought From)</t>
  </si>
  <si>
    <t>Price</t>
  </si>
  <si>
    <t>Payment Mode</t>
  </si>
  <si>
    <t>Laptop</t>
  </si>
  <si>
    <t>Electronics</t>
  </si>
  <si>
    <t>Amazon</t>
  </si>
  <si>
    <t>UPI</t>
  </si>
  <si>
    <t>Smartphone</t>
  </si>
  <si>
    <t>Flipkart</t>
  </si>
  <si>
    <t>Card</t>
  </si>
  <si>
    <t>Wireless Mouse</t>
  </si>
  <si>
    <t>Keyboard</t>
  </si>
  <si>
    <t>Local Market</t>
  </si>
  <si>
    <t>Cash</t>
  </si>
  <si>
    <t>Office Chair</t>
  </si>
  <si>
    <t>Furniture</t>
  </si>
  <si>
    <t>IKEA</t>
  </si>
  <si>
    <t>Study Table</t>
  </si>
  <si>
    <t>Local Furniture Shop</t>
  </si>
  <si>
    <t>Notebook</t>
  </si>
  <si>
    <t>Stationery</t>
  </si>
  <si>
    <t>Stationery Shop</t>
  </si>
  <si>
    <t>Ball Pen</t>
  </si>
  <si>
    <t>Local Shop</t>
  </si>
  <si>
    <t>Backpack</t>
  </si>
  <si>
    <t>Bags</t>
  </si>
  <si>
    <t>Myntra</t>
  </si>
  <si>
    <t>Water Bottle</t>
  </si>
  <si>
    <t>Kitchen</t>
  </si>
  <si>
    <t>Headphones</t>
  </si>
  <si>
    <t>Croma</t>
  </si>
  <si>
    <t>USB Cable</t>
  </si>
  <si>
    <t>Desk Lamp</t>
  </si>
  <si>
    <t>Calculator</t>
  </si>
  <si>
    <t>Printer</t>
  </si>
  <si>
    <t>Shoes</t>
  </si>
  <si>
    <t>Footwear</t>
  </si>
  <si>
    <t>T-Shirt</t>
  </si>
  <si>
    <t>Clothing</t>
  </si>
  <si>
    <t>Jeans</t>
  </si>
  <si>
    <t>Watch</t>
  </si>
  <si>
    <t>Accessories</t>
  </si>
  <si>
    <t>Titan Store</t>
  </si>
  <si>
    <t>Wallet</t>
  </si>
  <si>
    <t>Electric Kettle</t>
  </si>
  <si>
    <t>Mixer Grinder</t>
  </si>
  <si>
    <t>Bedsheet</t>
  </si>
  <si>
    <t>Home &amp; Living</t>
  </si>
  <si>
    <t>Home Centre</t>
  </si>
  <si>
    <t>Pillow</t>
  </si>
  <si>
    <t>Power Bank</t>
  </si>
  <si>
    <t>Bluetooth Speaker</t>
  </si>
  <si>
    <t>Sunglasses</t>
  </si>
  <si>
    <t>Floor Mat</t>
  </si>
  <si>
    <t>Extension Board</t>
  </si>
  <si>
    <t>Sum</t>
  </si>
  <si>
    <t>Sumif</t>
  </si>
  <si>
    <t>Sumsif</t>
  </si>
  <si>
    <t>count</t>
  </si>
  <si>
    <t>countif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</si>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</sst>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0" formatCode="&quot;₹&quot;\ #,##0;[Red]&quot;₹&quot;\ \-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2816F8-71C6-49FE-8D43-09ADC25C9CA8}" name="Table1" displayName="Table1" ref="A1:F31" totalsRowShown="0" headerRowDxfId="0" dataDxfId="1">
  <autoFilter ref="A1:F31" xr:uid="{1D2816F8-71C6-49FE-8D43-09ADC25C9CA8}"/>
  <tableColumns count="6">
    <tableColumn id="1" xr3:uid="{E6DCE1E6-0B7E-4B2F-88A4-955448BFA9C4}" name="S.No." dataDxfId="7"/>
    <tableColumn id="2" xr3:uid="{6C9EDADE-A2A6-43A0-999D-1900B3DB9742}" name="Item Name" dataDxfId="6"/>
    <tableColumn id="3" xr3:uid="{6055694D-B391-443F-9CD9-ED7B0385E936}" name="Category" dataDxfId="5"/>
    <tableColumn id="4" xr3:uid="{030FD5B2-5276-49E7-BC74-9B5382CF3F2E}" name="Subcategory (Bought From)" dataDxfId="4"/>
    <tableColumn id="5" xr3:uid="{814C2A9B-547A-41FF-9222-66D9717D07EB}" name="Price" dataDxfId="3"/>
    <tableColumn id="6" xr3:uid="{E200F48B-C5B2-457D-801A-2E022BCEA6C9}" name="Payment M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84D0-1AB6-4A56-83A2-FFD0EC55A99E}">
  <dimension ref="A1:M31"/>
  <sheetViews>
    <sheetView tabSelected="1" topLeftCell="B1" workbookViewId="0">
      <selection activeCell="J2" sqref="J2"/>
    </sheetView>
  </sheetViews>
  <sheetFormatPr defaultRowHeight="14.4" x14ac:dyDescent="0.3"/>
  <cols>
    <col min="2" max="2" width="15.6640625" bestFit="1" customWidth="1"/>
    <col min="3" max="3" width="12.21875" bestFit="1" customWidth="1"/>
    <col min="4" max="4" width="25.21875" customWidth="1"/>
    <col min="6" max="6" width="15.109375" customWidth="1"/>
    <col min="8" max="8" width="9.4414062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  <row r="2" spans="1:13" x14ac:dyDescent="0.3">
      <c r="A2" s="2">
        <v>1</v>
      </c>
      <c r="B2" s="2" t="s">
        <v>6</v>
      </c>
      <c r="C2" s="2" t="s">
        <v>7</v>
      </c>
      <c r="D2" s="2" t="s">
        <v>8</v>
      </c>
      <c r="E2" s="3">
        <v>55000</v>
      </c>
      <c r="F2" s="2" t="s">
        <v>9</v>
      </c>
      <c r="H2" s="1">
        <f>SUM(Table1[Price])</f>
        <v>140150</v>
      </c>
      <c r="I2">
        <f>SUMIF(F2:F31,"Cash",E2:E31)</f>
        <v>5050</v>
      </c>
      <c r="J2">
        <f>SUMIFS(Table1[Price],Table1[Payment Mode],"UPI",Table1[Category],"Electronics")</f>
        <v>58900</v>
      </c>
    </row>
    <row r="3" spans="1:13" x14ac:dyDescent="0.3">
      <c r="A3" s="2">
        <v>2</v>
      </c>
      <c r="B3" s="2" t="s">
        <v>10</v>
      </c>
      <c r="C3" s="2" t="s">
        <v>7</v>
      </c>
      <c r="D3" s="2" t="s">
        <v>11</v>
      </c>
      <c r="E3" s="3">
        <v>25000</v>
      </c>
      <c r="F3" s="2" t="s">
        <v>12</v>
      </c>
    </row>
    <row r="4" spans="1:13" x14ac:dyDescent="0.3">
      <c r="A4" s="2">
        <v>3</v>
      </c>
      <c r="B4" s="2" t="s">
        <v>13</v>
      </c>
      <c r="C4" s="2" t="s">
        <v>7</v>
      </c>
      <c r="D4" s="2" t="s">
        <v>8</v>
      </c>
      <c r="E4" s="3">
        <v>800</v>
      </c>
      <c r="F4" s="2" t="s">
        <v>9</v>
      </c>
    </row>
    <row r="5" spans="1:13" x14ac:dyDescent="0.3">
      <c r="A5" s="2">
        <v>4</v>
      </c>
      <c r="B5" s="2" t="s">
        <v>14</v>
      </c>
      <c r="C5" s="2" t="s">
        <v>7</v>
      </c>
      <c r="D5" s="2" t="s">
        <v>15</v>
      </c>
      <c r="E5" s="3">
        <v>1200</v>
      </c>
      <c r="F5" s="2" t="s">
        <v>16</v>
      </c>
    </row>
    <row r="6" spans="1:13" x14ac:dyDescent="0.3">
      <c r="A6" s="2">
        <v>5</v>
      </c>
      <c r="B6" s="2" t="s">
        <v>17</v>
      </c>
      <c r="C6" s="2" t="s">
        <v>18</v>
      </c>
      <c r="D6" s="2" t="s">
        <v>19</v>
      </c>
      <c r="E6" s="3">
        <v>6500</v>
      </c>
      <c r="F6" s="2" t="s">
        <v>12</v>
      </c>
    </row>
    <row r="7" spans="1:13" x14ac:dyDescent="0.3">
      <c r="A7" s="2">
        <v>6</v>
      </c>
      <c r="B7" s="2" t="s">
        <v>20</v>
      </c>
      <c r="C7" s="2" t="s">
        <v>18</v>
      </c>
      <c r="D7" s="2" t="s">
        <v>21</v>
      </c>
      <c r="E7" s="3">
        <v>8000</v>
      </c>
      <c r="F7" s="2" t="s">
        <v>9</v>
      </c>
    </row>
    <row r="8" spans="1:13" x14ac:dyDescent="0.3">
      <c r="A8" s="2">
        <v>7</v>
      </c>
      <c r="B8" s="2" t="s">
        <v>22</v>
      </c>
      <c r="C8" s="2" t="s">
        <v>23</v>
      </c>
      <c r="D8" s="2" t="s">
        <v>24</v>
      </c>
      <c r="E8" s="3">
        <v>80</v>
      </c>
      <c r="F8" s="2" t="s">
        <v>16</v>
      </c>
    </row>
    <row r="9" spans="1:13" x14ac:dyDescent="0.3">
      <c r="A9" s="2">
        <v>8</v>
      </c>
      <c r="B9" s="2" t="s">
        <v>25</v>
      </c>
      <c r="C9" s="2" t="s">
        <v>23</v>
      </c>
      <c r="D9" s="2" t="s">
        <v>26</v>
      </c>
      <c r="E9" s="3">
        <v>20</v>
      </c>
      <c r="F9" s="2" t="s">
        <v>16</v>
      </c>
    </row>
    <row r="10" spans="1:13" x14ac:dyDescent="0.3">
      <c r="A10" s="2">
        <v>9</v>
      </c>
      <c r="B10" s="2" t="s">
        <v>27</v>
      </c>
      <c r="C10" s="2" t="s">
        <v>28</v>
      </c>
      <c r="D10" s="2" t="s">
        <v>29</v>
      </c>
      <c r="E10" s="3">
        <v>1500</v>
      </c>
      <c r="F10" s="2" t="s">
        <v>9</v>
      </c>
    </row>
    <row r="11" spans="1:13" x14ac:dyDescent="0.3">
      <c r="A11" s="2">
        <v>10</v>
      </c>
      <c r="B11" s="2" t="s">
        <v>30</v>
      </c>
      <c r="C11" s="2" t="s">
        <v>31</v>
      </c>
      <c r="D11" s="2" t="s">
        <v>8</v>
      </c>
      <c r="E11" s="3">
        <v>500</v>
      </c>
      <c r="F11" s="2" t="s">
        <v>16</v>
      </c>
    </row>
    <row r="12" spans="1:13" x14ac:dyDescent="0.3">
      <c r="A12" s="2">
        <v>11</v>
      </c>
      <c r="B12" s="2" t="s">
        <v>32</v>
      </c>
      <c r="C12" s="2" t="s">
        <v>7</v>
      </c>
      <c r="D12" s="2" t="s">
        <v>33</v>
      </c>
      <c r="E12" s="3">
        <v>2500</v>
      </c>
      <c r="F12" s="2" t="s">
        <v>12</v>
      </c>
    </row>
    <row r="13" spans="1:13" x14ac:dyDescent="0.3">
      <c r="A13" s="2">
        <v>12</v>
      </c>
      <c r="B13" s="2" t="s">
        <v>34</v>
      </c>
      <c r="C13" s="2" t="s">
        <v>7</v>
      </c>
      <c r="D13" s="2" t="s">
        <v>8</v>
      </c>
      <c r="E13" s="3">
        <v>400</v>
      </c>
      <c r="F13" s="2" t="s">
        <v>9</v>
      </c>
    </row>
    <row r="14" spans="1:13" x14ac:dyDescent="0.3">
      <c r="A14" s="2">
        <v>13</v>
      </c>
      <c r="B14" s="2" t="s">
        <v>35</v>
      </c>
      <c r="C14" s="2" t="s">
        <v>7</v>
      </c>
      <c r="D14" s="2" t="s">
        <v>11</v>
      </c>
      <c r="E14" s="3">
        <v>1000</v>
      </c>
      <c r="F14" s="2" t="s">
        <v>16</v>
      </c>
    </row>
    <row r="15" spans="1:13" x14ac:dyDescent="0.3">
      <c r="A15" s="2">
        <v>14</v>
      </c>
      <c r="B15" s="2" t="s">
        <v>36</v>
      </c>
      <c r="C15" s="2" t="s">
        <v>23</v>
      </c>
      <c r="D15" s="2" t="s">
        <v>15</v>
      </c>
      <c r="E15" s="3">
        <v>700</v>
      </c>
      <c r="F15" s="2" t="s">
        <v>9</v>
      </c>
    </row>
    <row r="16" spans="1:13" x14ac:dyDescent="0.3">
      <c r="A16" s="2">
        <v>15</v>
      </c>
      <c r="B16" s="2" t="s">
        <v>37</v>
      </c>
      <c r="C16" s="2" t="s">
        <v>7</v>
      </c>
      <c r="D16" s="2" t="s">
        <v>33</v>
      </c>
      <c r="E16" s="3">
        <v>12000</v>
      </c>
      <c r="F16" s="2" t="s">
        <v>12</v>
      </c>
    </row>
    <row r="17" spans="1:6" x14ac:dyDescent="0.3">
      <c r="A17" s="2">
        <v>16</v>
      </c>
      <c r="B17" s="2" t="s">
        <v>38</v>
      </c>
      <c r="C17" s="2" t="s">
        <v>39</v>
      </c>
      <c r="D17" s="2" t="s">
        <v>29</v>
      </c>
      <c r="E17" s="3">
        <v>3000</v>
      </c>
      <c r="F17" s="2" t="s">
        <v>9</v>
      </c>
    </row>
    <row r="18" spans="1:6" x14ac:dyDescent="0.3">
      <c r="A18" s="2">
        <v>17</v>
      </c>
      <c r="B18" s="2" t="s">
        <v>40</v>
      </c>
      <c r="C18" s="2" t="s">
        <v>41</v>
      </c>
      <c r="D18" s="2" t="s">
        <v>8</v>
      </c>
      <c r="E18" s="3">
        <v>700</v>
      </c>
      <c r="F18" s="2" t="s">
        <v>12</v>
      </c>
    </row>
    <row r="19" spans="1:6" x14ac:dyDescent="0.3">
      <c r="A19" s="2">
        <v>18</v>
      </c>
      <c r="B19" s="2" t="s">
        <v>42</v>
      </c>
      <c r="C19" s="2" t="s">
        <v>41</v>
      </c>
      <c r="D19" s="2" t="s">
        <v>11</v>
      </c>
      <c r="E19" s="3">
        <v>1800</v>
      </c>
      <c r="F19" s="2" t="s">
        <v>9</v>
      </c>
    </row>
    <row r="20" spans="1:6" x14ac:dyDescent="0.3">
      <c r="A20" s="2">
        <v>19</v>
      </c>
      <c r="B20" s="2" t="s">
        <v>43</v>
      </c>
      <c r="C20" s="2" t="s">
        <v>44</v>
      </c>
      <c r="D20" s="2" t="s">
        <v>45</v>
      </c>
      <c r="E20" s="3">
        <v>4500</v>
      </c>
      <c r="F20" s="2" t="s">
        <v>12</v>
      </c>
    </row>
    <row r="21" spans="1:6" x14ac:dyDescent="0.3">
      <c r="A21" s="2">
        <v>20</v>
      </c>
      <c r="B21" s="2" t="s">
        <v>46</v>
      </c>
      <c r="C21" s="2" t="s">
        <v>44</v>
      </c>
      <c r="D21" s="2" t="s">
        <v>15</v>
      </c>
      <c r="E21" s="3">
        <v>600</v>
      </c>
      <c r="F21" s="2" t="s">
        <v>16</v>
      </c>
    </row>
    <row r="22" spans="1:6" x14ac:dyDescent="0.3">
      <c r="A22" s="2">
        <v>21</v>
      </c>
      <c r="B22" s="2" t="s">
        <v>47</v>
      </c>
      <c r="C22" s="2" t="s">
        <v>31</v>
      </c>
      <c r="D22" s="2" t="s">
        <v>8</v>
      </c>
      <c r="E22" s="3">
        <v>1500</v>
      </c>
      <c r="F22" s="2" t="s">
        <v>9</v>
      </c>
    </row>
    <row r="23" spans="1:6" x14ac:dyDescent="0.3">
      <c r="A23" s="2">
        <v>22</v>
      </c>
      <c r="B23" s="2" t="s">
        <v>48</v>
      </c>
      <c r="C23" s="2" t="s">
        <v>31</v>
      </c>
      <c r="D23" s="2" t="s">
        <v>11</v>
      </c>
      <c r="E23" s="3">
        <v>3500</v>
      </c>
      <c r="F23" s="2" t="s">
        <v>12</v>
      </c>
    </row>
    <row r="24" spans="1:6" x14ac:dyDescent="0.3">
      <c r="A24" s="2">
        <v>23</v>
      </c>
      <c r="B24" s="2" t="s">
        <v>49</v>
      </c>
      <c r="C24" s="2" t="s">
        <v>50</v>
      </c>
      <c r="D24" s="2" t="s">
        <v>51</v>
      </c>
      <c r="E24" s="3">
        <v>1200</v>
      </c>
      <c r="F24" s="2" t="s">
        <v>16</v>
      </c>
    </row>
    <row r="25" spans="1:6" x14ac:dyDescent="0.3">
      <c r="A25" s="2">
        <v>24</v>
      </c>
      <c r="B25" s="2" t="s">
        <v>52</v>
      </c>
      <c r="C25" s="2" t="s">
        <v>50</v>
      </c>
      <c r="D25" s="2" t="s">
        <v>26</v>
      </c>
      <c r="E25" s="3">
        <v>600</v>
      </c>
      <c r="F25" s="2" t="s">
        <v>9</v>
      </c>
    </row>
    <row r="26" spans="1:6" x14ac:dyDescent="0.3">
      <c r="A26" s="2">
        <v>25</v>
      </c>
      <c r="B26" s="2" t="s">
        <v>27</v>
      </c>
      <c r="C26" s="2" t="s">
        <v>28</v>
      </c>
      <c r="D26" s="2" t="s">
        <v>11</v>
      </c>
      <c r="E26" s="3">
        <v>1200</v>
      </c>
      <c r="F26" s="2" t="s">
        <v>12</v>
      </c>
    </row>
    <row r="27" spans="1:6" x14ac:dyDescent="0.3">
      <c r="A27" s="2">
        <v>26</v>
      </c>
      <c r="B27" s="2" t="s">
        <v>53</v>
      </c>
      <c r="C27" s="2" t="s">
        <v>7</v>
      </c>
      <c r="D27" s="2" t="s">
        <v>8</v>
      </c>
      <c r="E27" s="3">
        <v>1800</v>
      </c>
      <c r="F27" s="2" t="s">
        <v>9</v>
      </c>
    </row>
    <row r="28" spans="1:6" x14ac:dyDescent="0.3">
      <c r="A28" s="2">
        <v>27</v>
      </c>
      <c r="B28" s="2" t="s">
        <v>54</v>
      </c>
      <c r="C28" s="2" t="s">
        <v>7</v>
      </c>
      <c r="D28" s="2" t="s">
        <v>33</v>
      </c>
      <c r="E28" s="3">
        <v>2200</v>
      </c>
      <c r="F28" s="2" t="s">
        <v>12</v>
      </c>
    </row>
    <row r="29" spans="1:6" x14ac:dyDescent="0.3">
      <c r="A29" s="2">
        <v>28</v>
      </c>
      <c r="B29" s="2" t="s">
        <v>55</v>
      </c>
      <c r="C29" s="2" t="s">
        <v>44</v>
      </c>
      <c r="D29" s="2" t="s">
        <v>29</v>
      </c>
      <c r="E29" s="3">
        <v>1000</v>
      </c>
      <c r="F29" s="2" t="s">
        <v>9</v>
      </c>
    </row>
    <row r="30" spans="1:6" x14ac:dyDescent="0.3">
      <c r="A30" s="2">
        <v>29</v>
      </c>
      <c r="B30" s="2" t="s">
        <v>56</v>
      </c>
      <c r="C30" s="2" t="s">
        <v>50</v>
      </c>
      <c r="D30" s="2" t="s">
        <v>15</v>
      </c>
      <c r="E30" s="3">
        <v>450</v>
      </c>
      <c r="F30" s="2" t="s">
        <v>16</v>
      </c>
    </row>
    <row r="31" spans="1:6" x14ac:dyDescent="0.3">
      <c r="A31" s="2">
        <v>30</v>
      </c>
      <c r="B31" s="2" t="s">
        <v>57</v>
      </c>
      <c r="C31" s="2" t="s">
        <v>7</v>
      </c>
      <c r="D31" s="2" t="s">
        <v>8</v>
      </c>
      <c r="E31" s="3">
        <v>900</v>
      </c>
      <c r="F31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PANDIT</dc:creator>
  <cp:lastModifiedBy>MANISH KUMAR PANDIT</cp:lastModifiedBy>
  <dcterms:created xsi:type="dcterms:W3CDTF">2026-09-18T22:15:37Z</dcterms:created>
  <dcterms:modified xsi:type="dcterms:W3CDTF">2026-09-18T23:17:54Z</dcterms:modified>
</cp:coreProperties>
</file>